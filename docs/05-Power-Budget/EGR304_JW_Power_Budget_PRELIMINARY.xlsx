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f8dc36ddc3c94764" /></Relationships>
</file>

<file path=xl/workbook.xml><?xml version="1.0" encoding="utf-8"?>
<x:workbook xmlns:x="http://schemas.openxmlformats.org/spreadsheetml/2006/main">
  <x:sheets>
    <x:sheet xmlns:r="http://schemas.openxmlformats.org/officeDocument/2006/relationships" name="Power Budget" sheetId="1" r:id="R428a99c48107443a"/>
  </x:sheets>
</x:workbook>
</file>

<file path=xl/comments1.xml><?xml version="1.0" encoding="utf-8"?>
<x:comments xmlns:x="http://schemas.openxmlformats.org/spreadsheetml/2006/main">
  <x:authors>
    <x:author/>
  </x:authors>
  <x:commentList>
    <x:comment ref="F8" authorId="0">
      <x:text>
        <x:r>
          <x:t>For inductive loads (e.g., motors, solenoids) this is often called "stall current" on the data sheet</x:t>
        </x:r>
      </x:text>
    </x:comment>
  </x:commentList>
</x:comments>
</file>

<file path=xl/sharedStrings.xml><?xml version="1.0" encoding="utf-8"?>
<x:sst xmlns:x="http://schemas.openxmlformats.org/spreadsheetml/2006/main">
  <x:si>
    <x:t xml:space="preserve">Team Number:</x:t>
  </x:si>
  <x:si>
    <x:t xml:space="preserve">Project Name:</x:t>
  </x:si>
  <x:si>
    <x:t xml:space="preserve">Team Member Names:</x:t>
  </x:si>
  <x:si>
    <x:t xml:space="preserve">Version:</x:t>
  </x:si>
  <x:si>
    <x:t xml:space="preserve">A. List ALL major components (active devices, integrated circuits, etc.) except for power sources, voltage regulators, resistors, capacitors, or passive elements</x:t>
  </x:si>
  <x:si>
    <x:t xml:space="preserve">All Major Components</x:t>
  </x:si>
  <x:si>
    <x:t xml:space="preserve">Component Name</x:t>
  </x:si>
  <x:si>
    <x:t xml:space="preserve">Part Number</x:t>
  </x:si>
  <x:si>
    <x:t xml:space="preserve">Supply
Voltage
Range</x:t>
  </x:si>
  <x:si>
    <x:t xml:space="preserve">#</x:t>
  </x:si>
  <x:si>
    <x:t xml:space="preserve">Absolute
Maximum
Current (mA)</x:t>
  </x:si>
  <x:si>
    <x:t xml:space="preserve">Total
Current
(mA)</x:t>
  </x:si>
  <x:si>
    <x:t xml:space="preserve">Unit</x:t>
  </x:si>
  <x:si>
    <x:t xml:space="preserve">B. Assign each major component above to ONE power rail below. Try to minimize the number of different power rails in the design. 
Add additional power rails or change the power rail voltages if needed.</x:t>
  </x:si>
  <x:si>
    <x:t xml:space="preserve">mA</x:t>
  </x:si>
  <x:si>
    <x:t xml:space="preserve">Safety Margin</x:t>
  </x:si>
  <x:si>
    <x:t xml:space="preserve">Total Current Required on +12V Rail</x:t>
  </x:si>
  <x:si>
    <x:t xml:space="preserve">c1. Regulator or Source Choice</x:t>
  </x:si>
  <x:si>
    <x:t xml:space="preserve"> +5V Power Rail</x:t>
  </x:si>
  <x:si>
    <x:t xml:space="preserve">Subtotal </x:t>
  </x:si>
  <x:si>
    <x:t xml:space="preserve">Total Current Required on +5V Rail</x:t>
  </x:si>
  <x:si>
    <x:t xml:space="preserve">c2. Regulator or Source Choice</x:t>
  </x:si>
  <x:si>
    <x:t xml:space="preserve">Total Current Required on -5V Rail</x:t>
  </x:si>
  <x:si>
    <x:t xml:space="preserve">c3. Regulator or Source Choice</x:t>
  </x:si>
  <x:si>
    <x:t xml:space="preserve">Total Current Required on +3.3V Rail</x:t>
  </x:si>
  <x:si>
    <x:t xml:space="preserve">c4. Regulator or Source Choice</x:t>
  </x:si>
  <x:si>
    <x:t xml:space="preserve">C. For each power rail above, select a specific voltage regulator using the same process as for major component selection. Confirm that the Total Remaining Current Available on each rail above is not negative.</x:t>
  </x:si>
  <x:si>
    <x:t xml:space="preserve">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x:t>
  </x:si>
  <x:si>
    <x:t xml:space="preserve">External Power Source 1</x:t>
  </x:si>
  <x:si>
    <x:t xml:space="preserve">Output Voltage</x:t>
  </x:si>
  <x:si>
    <x:t xml:space="preserve">Power Source 1 Selection</x:t>
  </x:si>
  <x:si>
    <x:t xml:space="preserve">Power Rails Connected to External Power Source 1</x:t>
  </x:si>
  <x:si>
    <x:t xml:space="preserve">External Power Source 2</x:t>
  </x:si>
  <x:si>
    <x:t xml:space="preserve">Power Source 2 Selection</x:t>
  </x:si>
  <x:si>
    <x:t xml:space="preserve">Power Rails Connected to External Power Source 2</x:t>
  </x:si>
  <x:si>
    <x:t xml:space="preserve">E. Calculate Battery Life (if applicable).  For each battery, also check the worst-case lifetime of the battery by indicating the capacity in mAh.</x:t>
  </x:si>
  <x:si>
    <x:t xml:space="preserve">Capacity
(mAh)</x:t>
  </x:si>
  <x:si>
    <x:t xml:space="preserve">Required
By
Regulators</x:t>
  </x:si>
</x:sst>
</file>

<file path=xl/styles.xml><?xml version="1.0" encoding="utf-8"?>
<x:styleSheet xmlns:x="http://schemas.openxmlformats.org/spreadsheetml/2006/main">
  <x:fonts count="10">
    <x:font>
      <x:sz val="12"/>
      <x:color rgb="FF000000"/>
      <x:name val="Calibri"/>
    </x:font>
    <x:font>
      <x:b/>
      <x:sz val="24"/>
      <x:color rgb="FF000000"/>
      <x:name val="Calibri"/>
    </x:font>
    <x:font>
      <x:b/>
      <x:sz val="12"/>
      <x:color rgb="FF000000"/>
      <x:name val="Calibri"/>
    </x:font>
    <x:font/>
    <x:font>
      <x:b/>
      <x:sz val="12"/>
      <x:color rgb="FF000000"/>
      <x:name val="Arial"/>
    </x:font>
    <x:font>
      <x:b/>
      <x:i/>
      <x:sz val="12"/>
      <x:color rgb="FF000000"/>
      <x:name val="Arial"/>
    </x:font>
    <x:font>
      <x:sz val="12"/>
      <x:color rgb="FF000000"/>
      <x:name val="Arial"/>
    </x:font>
    <x:font>
      <x:b/>
      <x:i/>
      <x:sz val="12"/>
      <x:color rgb="FF000000"/>
      <x:name val="Calibri"/>
    </x:font>
    <x:font>
      <x:name val="Arial"/>
    </x:font>
    <x:font>
      <x:color rgb="FF000000"/>
      <x:name val="Arial"/>
    </x:font>
  </x:fonts>
  <x:fills count="5">
    <x:fill>
      <x:patternFill patternType="none"/>
    </x:fill>
    <x:fill>
      <x:patternFill patternType="lightGray"/>
    </x:fill>
    <x:fill>
      <x:patternFill patternType="solid">
        <x:fgColor rgb="FFFFFF00"/>
      </x:patternFill>
    </x:fill>
    <x:fill>
      <x:patternFill patternType="solid">
        <x:fgColor rgb="FFEEECE1"/>
      </x:patternFill>
    </x:fill>
    <x:fill>
      <x:patternFill patternType="solid">
        <x:fgColor rgb="FFFFFFFF"/>
      </x:patternFill>
    </x:fill>
  </x:fills>
  <x:borders count="19">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top style="thin">
        <x:color rgb="FF000000"/>
      </x:top>
      <x:bottom style="thin">
        <x:color rgb="FF000000"/>
      </x:bottom>
    </x:border>
    <x:border>
      <x:left style="thin">
        <x:color rgb="FF000000"/>
      </x:left>
      <x:right style="thin">
        <x:color rgb="FF000000"/>
      </x:right>
      <x:bottom style="thin">
        <x:color rgb="FF000000"/>
      </x:bottom>
    </x:border>
    <x:border>
      <x:left style="thin">
        <x:color rgb="FF000000"/>
      </x:left>
    </x:border>
    <x:border>
      <x:left style="thin">
        <x:color rgb="FF000000"/>
      </x:left>
      <x:right style="thin">
        <x:color rgb="FF000000"/>
      </x:right>
    </x:border>
    <x:border>
      <x:left style="thin">
        <x:color rgb="FF000000"/>
      </x:left>
      <x:top style="thin">
        <x:color rgb="FF000000"/>
      </x:top>
      <x:bottom style="thin">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right style="thin">
        <x:color rgb="FF000000"/>
      </x:right>
    </x:border>
    <x:border>
      <x:top style="thin">
        <x:color rgb="FF000000"/>
      </x:top>
      <x:bottom style="thin">
        <x:color rgb="FF000000"/>
      </x:bottom>
    </x:border>
    <x:border/>
    <x:border>
      <x:top style="thin">
        <x:color rgb="FF000000"/>
      </x:top>
    </x:border>
    <x:border>
      <x:top style="thin">
        <x:color rgb="FF000000"/>
      </x:top>
    </x:border>
  </x:borders>
  <x:cellStyleXfs count="1">
    <x:xf numFmtId="0" fontId="0" fillId="0" borderId="0" applyFont="1" applyAlignment="1"/>
  </x:cellStyleXfs>
  <x:cellXfs count="75">
    <x:xf numFmtId="0" fontId="0" fillId="0" borderId="0" xfId="0" applyFont="1" applyAlignment="1">
      <x:alignment vertical="bottom" wrapText="0"/>
    </x:xf>
    <x:xf numFmtId="0" fontId="1" fillId="0" borderId="0" xfId="0" applyFont="1" applyAlignment="1">
      <x:alignment horizontal="center" wrapText="0"/>
    </x:xf>
    <x:xf numFmtId="0" fontId="2" fillId="0" borderId="1" xfId="0" applyFont="1" applyBorder="1" applyAlignment="1">
      <x:alignment wrapText="0"/>
    </x:xf>
    <x:xf numFmtId="0" fontId="3" fillId="0" borderId="1" xfId="0" applyFont="1" applyBorder="1"/>
    <x:xf numFmtId="0" fontId="2" fillId="0" borderId="0" xfId="0" applyFont="1" applyAlignment="1">
      <x:alignment horizontal="center" wrapText="0"/>
    </x:xf>
    <x:xf numFmtId="0" fontId="4" fillId="0" borderId="1" xfId="0" applyFont="1" applyBorder="1" applyAlignment="1">
      <x:alignment wrapText="0"/>
    </x:xf>
    <x:xf numFmtId="0" fontId="2" fillId="0" borderId="0" xfId="0" applyFont="1" applyAlignment="1">
      <x:alignment wrapText="0"/>
    </x:xf>
    <x:xf numFmtId="0" fontId="4" fillId="0" borderId="0" xfId="0" applyFont="1" applyAlignment="1">
      <x:alignment wrapText="0"/>
    </x:xf>
    <x:xf numFmtId="0" fontId="5" fillId="2" borderId="2" xfId="0" applyFont="1" applyFill="1" applyBorder="1" applyAlignment="1">
      <x:alignment wrapText="1"/>
    </x:xf>
    <x:xf numFmtId="0" fontId="3" fillId="0" borderId="3" xfId="0" applyFont="1" applyBorder="1"/>
    <x:xf numFmtId="0" fontId="3" fillId="0" borderId="4" xfId="0" applyFont="1" applyBorder="1"/>
    <x:xf numFmtId="0" fontId="4" fillId="3" borderId="2" xfId="0" applyFont="1" applyFill="1" applyBorder="1" applyAlignment="1">
      <x:alignment horizontal="center" wrapText="0"/>
    </x:xf>
    <x:xf numFmtId="0" fontId="2" fillId="3" borderId="5" xfId="0" applyFont="1" applyBorder="1" applyAlignment="1">
      <x:alignment horizontal="center" wrapText="0"/>
    </x:xf>
    <x:xf numFmtId="0" fontId="4" fillId="3" borderId="5" xfId="0" applyFont="1" applyBorder="1" applyAlignment="1">
      <x:alignment horizontal="center" wrapText="0"/>
    </x:xf>
    <x:xf numFmtId="0" fontId="4" fillId="3" borderId="6" xfId="0" applyFont="1" applyBorder="1" applyAlignment="1">
      <x:alignment horizontal="center" wrapText="0"/>
    </x:xf>
    <x:xf numFmtId="0" fontId="4" fillId="3" borderId="7" xfId="0" applyFont="1" applyBorder="1" applyAlignment="1">
      <x:alignment horizontal="center" wrapText="0"/>
    </x:xf>
    <x:xf numFmtId="0" fontId="0" fillId="0" borderId="8" xfId="0" applyFont="1" applyBorder="1" applyAlignment="1">
      <x:alignment wrapText="0"/>
    </x:xf>
    <x:xf numFmtId="0" fontId="0" fillId="0" borderId="0" xfId="0" applyFont="1" applyAlignment="1">
      <x:alignment wrapText="0"/>
    </x:xf>
    <x:xf numFmtId="0" fontId="6" fillId="0" borderId="0" xfId="0" applyFont="1" applyAlignment="1">
      <x:alignment horizontal="center" wrapText="0"/>
    </x:xf>
    <x:xf numFmtId="0" fontId="0" fillId="0" borderId="0" xfId="0" applyFont="1" applyAlignment="1">
      <x:alignment horizontal="center" wrapText="0"/>
    </x:xf>
    <x:xf numFmtId="0" fontId="0" fillId="0" borderId="9" xfId="0" applyFont="1" applyBorder="1" applyAlignment="1">
      <x:alignment wrapText="0"/>
    </x:xf>
    <x:xf numFmtId="0" fontId="6" fillId="0" borderId="9" xfId="0" applyFont="1" applyBorder="1" applyAlignment="1">
      <x:alignment wrapText="0"/>
    </x:xf>
    <x:xf numFmtId="0" fontId="0" fillId="0" borderId="0" xfId="0" applyFont="1" applyAlignment="1">
      <x:alignment wrapText="0"/>
    </x:xf>
    <x:xf numFmtId="0" fontId="6" fillId="0" borderId="0" xfId="0" applyFont="1" applyAlignment="1">
      <x:alignment wrapText="0"/>
    </x:xf>
    <x:xf numFmtId="49" fontId="6" fillId="0" borderId="0" xfId="0" applyNumberFormat="1" applyFont="1" applyAlignment="1">
      <x:alignment horizontal="center" wrapText="0"/>
    </x:xf>
    <x:xf numFmtId="0" fontId="2" fillId="0" borderId="8" xfId="0" applyFont="1" applyBorder="1" applyAlignment="1">
      <x:alignment wrapText="0"/>
    </x:xf>
    <x:xf numFmtId="0" fontId="2" fillId="0" borderId="0" xfId="0" applyFont="1" applyAlignment="1">
      <x:alignment wrapText="0"/>
    </x:xf>
    <x:xf numFmtId="0" fontId="4" fillId="0" borderId="0" xfId="0" applyFont="1" applyAlignment="1">
      <x:alignment horizontal="center" wrapText="0"/>
    </x:xf>
    <x:xf numFmtId="0" fontId="2" fillId="0" borderId="9" xfId="0" applyFont="1" applyBorder="1" applyAlignment="1">
      <x:alignment wrapText="0"/>
    </x:xf>
    <x:xf numFmtId="0" fontId="5" fillId="3" borderId="10" xfId="0" applyFont="1" applyBorder="1" applyAlignment="1">
      <x:alignment wrapText="0"/>
    </x:xf>
    <x:xf numFmtId="0" fontId="7" fillId="0" borderId="0" xfId="0" applyFont="1" applyAlignment="1">
      <x:alignment horizontal="right" wrapText="0"/>
    </x:xf>
    <x:xf numFmtId="9" fontId="0" fillId="0" borderId="9" xfId="0" applyNumberFormat="1" applyFont="1" applyBorder="1" applyAlignment="1">
      <x:alignment wrapText="0"/>
    </x:xf>
    <x:xf numFmtId="0" fontId="7" fillId="0" borderId="8" xfId="0" applyFont="1" applyBorder="1" applyAlignment="1">
      <x:alignment wrapText="0"/>
    </x:xf>
    <x:xf numFmtId="0" fontId="5" fillId="0" borderId="0" xfId="0" applyFont="1" applyAlignment="1">
      <x:alignment horizontal="right" wrapText="0"/>
    </x:xf>
    <x:xf numFmtId="0" fontId="5" fillId="0" borderId="8" xfId="0" applyFont="1" applyBorder="1" applyAlignment="1">
      <x:alignment horizontal="left" wrapText="0"/>
    </x:xf>
    <x:xf numFmtId="0" fontId="6" fillId="0" borderId="0" xfId="0" applyFont="1" applyAlignment="1">
      <x:alignment horizontal="left" wrapText="0"/>
    </x:xf>
    <x:xf numFmtId="0" fontId="6" fillId="0" borderId="0" xfId="0" applyFont="1" applyAlignment="1">
      <x:alignment horizontal="right" wrapText="0"/>
    </x:xf>
    <x:xf numFmtId="0" fontId="0" fillId="0" borderId="9" xfId="0" applyFont="1" applyBorder="1" applyAlignment="1">
      <x:alignment horizontal="right" wrapText="0"/>
    </x:xf>
    <x:xf numFmtId="0" fontId="5" fillId="0" borderId="11" xfId="0" applyFont="1" applyBorder="1" applyAlignment="1">
      <x:alignment horizontal="left" wrapText="0"/>
    </x:xf>
    <x:xf numFmtId="49" fontId="5" fillId="0" borderId="12" xfId="0" applyNumberFormat="1" applyFont="1" applyBorder="1" applyAlignment="1">
      <x:alignment horizontal="right" wrapText="0"/>
    </x:xf>
    <x:xf numFmtId="0" fontId="3" fillId="0" borderId="12" xfId="0" applyFont="1" applyBorder="1"/>
    <x:xf numFmtId="0" fontId="4" fillId="3" borderId="1" xfId="0" applyFont="1" applyBorder="1" applyAlignment="1">
      <x:alignment horizontal="center" wrapText="0"/>
    </x:xf>
    <x:xf numFmtId="0" fontId="0" fillId="0" borderId="8" xfId="0" applyFont="1" applyBorder="1" applyAlignment="1">
      <x:alignment wrapText="0"/>
    </x:xf>
    <x:xf numFmtId="49" fontId="5" fillId="0" borderId="0" xfId="0" applyNumberFormat="1" applyFont="1" applyAlignment="1">
      <x:alignment horizontal="right" wrapText="0"/>
    </x:xf>
    <x:xf numFmtId="0" fontId="5" fillId="0" borderId="8" xfId="0" applyFont="1" applyBorder="1" applyAlignment="1">
      <x:alignment wrapText="1"/>
    </x:xf>
    <x:xf numFmtId="0" fontId="5" fillId="0" borderId="0" xfId="0" applyFont="1" applyAlignment="1">
      <x:alignment wrapText="1"/>
    </x:xf>
    <x:xf numFmtId="0" fontId="5" fillId="0" borderId="8" xfId="0" applyFont="1" applyBorder="1" applyAlignment="1">
      <x:alignment wrapText="0"/>
    </x:xf>
    <x:xf numFmtId="0" fontId="5" fillId="0" borderId="9" xfId="0" applyFont="1" applyBorder="1" applyAlignment="1">
      <x:alignment wrapText="0"/>
    </x:xf>
    <x:xf numFmtId="0" fontId="5" fillId="0" borderId="11" xfId="0" applyFont="1" applyBorder="1" applyAlignment="1">
      <x:alignment wrapText="1"/>
    </x:xf>
    <x:xf numFmtId="0" fontId="3" fillId="0" borderId="13" xfId="0" applyFont="1" applyBorder="1"/>
    <x:xf numFmtId="0" fontId="4" fillId="3" borderId="5" xfId="0" applyFont="1" applyBorder="1" applyAlignment="1">
      <x:alignment horizontal="center" wrapText="1"/>
    </x:xf>
    <x:xf numFmtId="0" fontId="4" fillId="0" borderId="8" xfId="0" applyFont="1" applyBorder="1" applyAlignment="1">
      <x:alignment horizontal="left" wrapText="0"/>
    </x:xf>
    <x:xf numFmtId="0" fontId="6" fillId="0" borderId="9" xfId="0" applyFont="1" applyBorder="1" applyAlignment="1">
      <x:alignment horizontal="right" wrapText="0"/>
    </x:xf>
    <x:xf numFmtId="0" fontId="6" fillId="0" borderId="14" xfId="0" applyFont="1" applyBorder="1" applyAlignment="1">
      <x:alignment horizontal="left" wrapText="0"/>
    </x:xf>
    <x:xf numFmtId="0" fontId="4" fillId="0" borderId="8" xfId="0" applyFont="1" applyBorder="1" applyAlignment="1">
      <x:alignment horizontal="center" wrapText="0"/>
    </x:xf>
    <x:xf numFmtId="0" fontId="6" fillId="0" borderId="14" xfId="0" applyFont="1" applyBorder="1" applyAlignment="1">
      <x:alignment wrapText="0"/>
    </x:xf>
    <x:xf numFmtId="0" fontId="4" fillId="0" borderId="8" xfId="0" applyFont="1" applyBorder="1" applyAlignment="1">
      <x:alignment horizontal="left" vertical="center" wrapText="1"/>
    </x:xf>
    <x:xf numFmtId="0" fontId="3" fillId="0" borderId="8" xfId="0" applyFont="1" applyBorder="1"/>
    <x:xf numFmtId="0" fontId="4" fillId="0" borderId="9" xfId="0" applyFont="1" applyBorder="1" applyAlignment="1">
      <x:alignment horizontal="center" wrapText="0"/>
    </x:xf>
    <x:xf numFmtId="0" fontId="4" fillId="0" borderId="14" xfId="0" applyFont="1" applyBorder="1" applyAlignment="1">
      <x:alignment horizontal="center" wrapText="0"/>
    </x:xf>
    <x:xf numFmtId="0" fontId="8" fillId="0" borderId="0" xfId="0" applyFont="1" applyAlignment="1"/>
    <x:xf numFmtId="0" fontId="0" fillId="0" borderId="9" xfId="0" applyFont="1" applyBorder="1" applyAlignment="1">
      <x:alignment horizontal="center" wrapText="0"/>
    </x:xf>
    <x:xf numFmtId="0" fontId="3" fillId="0" borderId="15" xfId="0" applyFont="1" applyBorder="1"/>
    <x:xf numFmtId="0" fontId="7" fillId="2" borderId="1" xfId="0" applyFont="1" applyBorder="1" applyAlignment="1">
      <x:alignment wrapText="0"/>
    </x:xf>
    <x:xf numFmtId="0" fontId="2" fillId="3" borderId="8" xfId="0" applyFont="1" applyBorder="1" applyAlignment="1">
      <x:alignment wrapText="0"/>
    </x:xf>
    <x:xf numFmtId="0" fontId="2" fillId="3" borderId="16" xfId="0" applyFont="1" applyBorder="1" applyAlignment="1">
      <x:alignment wrapText="0"/>
    </x:xf>
    <x:xf numFmtId="0" fontId="4" fillId="3" borderId="17" xfId="0" applyFont="1" applyBorder="1" applyAlignment="1">
      <x:alignment horizontal="center" wrapText="0"/>
    </x:xf>
    <x:xf numFmtId="0" fontId="4" fillId="3" borderId="18" xfId="0" applyFont="1" applyBorder="1" applyAlignment="1">
      <x:alignment horizontal="center" wrapText="0"/>
    </x:xf>
    <x:xf numFmtId="0" fontId="4" fillId="3" borderId="9" xfId="0" applyFont="1" applyBorder="1" applyAlignment="1">
      <x:alignment horizontal="center" wrapText="0"/>
    </x:xf>
    <x:xf numFmtId="0" fontId="2" fillId="3" borderId="9" xfId="0" applyFont="1" applyBorder="1" applyAlignment="1">
      <x:alignment wrapText="0"/>
    </x:xf>
    <x:xf numFmtId="0" fontId="0" fillId="0" borderId="9" xfId="0" applyFont="1" applyBorder="1" applyAlignment="1">
      <x:alignment wrapText="0"/>
    </x:xf>
    <x:xf numFmtId="0" fontId="5" fillId="2" borderId="0" xfId="0" applyFont="1" applyAlignment="1">
      <x:alignment wrapText="0"/>
    </x:xf>
    <x:xf numFmtId="0" fontId="0" fillId="2" borderId="0" xfId="0" applyFont="1" applyAlignment="1">
      <x:alignment wrapText="0"/>
    </x:xf>
    <x:xf numFmtId="0" fontId="6" fillId="0" borderId="0" xfId="0" applyFont="1" applyAlignment="1">
      <x:alignment wrapText="1"/>
    </x:xf>
    <x:xf numFmtId="0" fontId="9" fillId="4" borderId="0" xfId="0" applyFont="1" applyFill="1" applyAlignment="1">
      <x:alignment horizontal="left" wrapText="1"/>
    </x:xf>
  </x:cellXfs>
  <x:cellStyles count="1">
    <x:cellStyle name="Normal" xfId="0"/>
  </x:cellStyles>
  <x:dxfs count="1">
    <x:dxf>
      <x:font>
        <x:color rgb="FF000000"/>
      </x:font>
      <x:fill>
        <x:patternFill>
          <x:bgColor rgb="FFF4CCCC"/>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acd97bc2180c4a1c" /><Relationship Type="http://schemas.openxmlformats.org/officeDocument/2006/relationships/theme" Target="/xl/theme/theme1.xml" Id="Ree8e2ea6409a47fd" /><Relationship Type="http://schemas.openxmlformats.org/officeDocument/2006/relationships/sharedStrings" Target="/xl/sharedStrings.xml" Id="Rf2696691a9a5449f" /><Relationship Type="http://schemas.openxmlformats.org/officeDocument/2006/relationships/worksheet" Target="/xl/worksheets/sheet1.xml" Id="R428a99c4810744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9b4d0fd768c3450f" /><Relationship Type="http://schemas.openxmlformats.org/officeDocument/2006/relationships/vmlDrawing" Target="/xl/drawings/vmldrawing.vml" Id="Re44709c3cfc64ab8" /></Relationships>
</file>

<file path=xl/worksheets/sheet1.xml><?xml version="1.0" encoding="utf-8"?>
<x:worksheet xmlns:x="http://schemas.openxmlformats.org/spreadsheetml/2006/main">
  <x:sheetFormatPr defaultColWidth="13.4399995803833" defaultRowHeight="15.75"/>
  <x:cols>
    <x:col min="1" max="1" width="26.110000610351562" customWidth="1"/>
    <x:col min="2" max="2" width="23.110000610351562" customWidth="1"/>
    <x:col min="3" max="3" width="13.4399995803833" customWidth="1"/>
    <x:col min="4" max="4" width="11.4399995803833" customWidth="1"/>
    <x:col min="5" max="5" width="6.889999866485596" customWidth="1"/>
    <x:col min="6" max="6" width="12.329999923706055" customWidth="1"/>
    <x:col min="7" max="7" width="12.670000076293945" customWidth="1"/>
    <x:col min="8" max="8" width="9" customWidth="1"/>
  </x:cols>
  <x:sheetData>
    <x:row r="1" ht="30" customHeight="1">
      <x:c r="A1" s="1" t="str">
        <x:v>EGR 304 — Microphone Subsystem Power Budget (PRELIMINARY)</x:v>
      </x:c>
    </x:row>
    <x:row r="2" ht="15" customHeight="1">
      <x:c r="A2" s="2" t="s">
        <x:v>0</x:v>
      </x:c>
      <x:c r="B2" s="3" t="str">
        <x:v>203</x:v>
      </x:c>
      <x:c r="D2" s="4"/>
      <x:c r="E2" s="4"/>
    </x:row>
    <x:row r="3" ht="15" customHeight="1">
      <x:c r="A3" s="5" t="s">
        <x:v>1</x:v>
      </x:c>
      <x:c r="B3" s="2" t="str">
        <x:v>Microphone detection subsystem</x:v>
      </x:c>
      <x:c r="C3" s="6"/>
      <x:c r="D3" s="4"/>
      <x:c r="E3" s="4"/>
      <x:c r="F3" s="6"/>
      <x:c r="G3" s="6"/>
      <x:c r="H3" s="6"/>
    </x:row>
    <x:row r="4" ht="15" customHeight="1">
      <x:c r="A4" s="5" t="s">
        <x:v>2</x:v>
      </x:c>
      <x:c r="B4" s="2" t="str">
        <x:v>Joseph White</x:v>
      </x:c>
      <x:c r="C4" s="6"/>
      <x:c r="D4" s="4"/>
      <x:c r="E4" s="4"/>
      <x:c r="F4" s="6"/>
      <x:c r="G4" s="6"/>
      <x:c r="H4" s="6"/>
    </x:row>
    <x:row r="5" ht="15" customHeight="1">
      <x:c r="A5" s="5" t="s">
        <x:v>3</x:v>
      </x:c>
      <x:c r="B5" s="2" t="str">
        <x:v>2026-10-26 | Rev 0.1 — design estimates; verify datasheets</x:v>
      </x:c>
      <x:c r="C5" s="6"/>
      <x:c r="D5" s="4"/>
      <x:c r="E5" s="4"/>
      <x:c r="F5" s="6"/>
      <x:c r="G5" s="6"/>
      <x:c r="H5" s="6"/>
    </x:row>
    <x:row r="6" ht="15" customHeight="1">
      <x:c r="A6" s="7"/>
      <x:c r="B6" s="6"/>
      <x:c r="C6" s="6"/>
      <x:c r="D6" s="4"/>
      <x:c r="E6" s="4"/>
      <x:c r="F6" s="6"/>
      <x:c r="G6" s="6"/>
      <x:c r="H6" s="6"/>
    </x:row>
    <x:row r="7" ht="15" customHeight="1">
      <x:c r="A7" s="8" t="s">
        <x:v>4</x:v>
      </x:c>
      <x:c r="B7" s="9"/>
      <x:c r="C7" s="9"/>
      <x:c r="D7" s="9"/>
      <x:c r="E7" s="9"/>
      <x:c r="F7" s="9"/>
      <x:c r="G7" s="9"/>
      <x:c r="H7" s="10"/>
    </x:row>
    <x:row r="8" ht="15" customHeight="1">
      <x:c r="A8" s="11" t="s">
        <x:v>5</x:v>
      </x:c>
      <x:c r="B8" s="12" t="s">
        <x:v>6</x:v>
      </x:c>
      <x:c r="C8" s="12" t="s">
        <x:v>7</x:v>
      </x:c>
      <x:c r="D8" s="13" t="s">
        <x:v>8</x:v>
      </x:c>
      <x:c r="E8" s="13" t="s">
        <x:v>9</x:v>
      </x:c>
      <x:c r="F8" s="14" t="s">
        <x:v>10</x:v>
      </x:c>
      <x:c r="G8" s="15" t="s">
        <x:v>11</x:v>
      </x:c>
      <x:c r="H8" s="15" t="s">
        <x:v>12</x:v>
      </x:c>
    </x:row>
    <x:row r="9" ht="15" customHeight="1">
      <x:c r="A9" s="16"/>
      <x:c r="B9" s="17" t="str">
        <x:v>PIC18F57Q43 Curiosity Nano dev board</x:v>
      </x:c>
      <x:c r="C9" s="17" t="str">
        <x:v>PIC18F57Q43 Curiosity Nano</x:v>
      </x:c>
      <x:c r="D9" s="18" t="str">
        <x:v>5 V board input</x:v>
      </x:c>
      <x:c r="E9" s="19" t="n">
        <x:v>1</x:v>
      </x:c>
      <x:c r="F9" s="17" t="n">
        <x:v>100</x:v>
      </x:c>
      <x:c r="G9" s="20" t="n">
        <x:f t="shared" ref="G9:G13" si="1">E9*F9</x:f>
        <x:v>100</x:v>
      </x:c>
      <x:c r="H9" s="21" t="str">
        <x:v>mA</x:v>
      </x:c>
    </x:row>
    <x:row r="10" ht="15" customHeight="1">
      <x:c r="A10" s="16"/>
      <x:c r="B10" s="17" t="str">
        <x:v>Quad op-amp</x:v>
      </x:c>
      <x:c r="C10" s="17" t="str">
        <x:v>MCP6004</x:v>
      </x:c>
      <x:c r="D10" s="18" t="str">
        <x:v>1.8–6.0 V</x:v>
      </x:c>
      <x:c r="E10" s="19" t="n">
        <x:v>1</x:v>
      </x:c>
      <x:c r="F10" s="17" t="n">
        <x:v>5</x:v>
      </x:c>
      <x:c r="G10" s="20" t="n">
        <x:f t="shared" si="1">E10*F10</x:f>
        <x:v>5</x:v>
      </x:c>
      <x:c r="H10" s="21" t="str">
        <x:v>mA</x:v>
      </x:c>
    </x:row>
    <x:row r="11" ht="15" customHeight="1">
      <x:c r="A11" s="16"/>
      <x:c r="B11" s="22" t="str">
        <x:v>Electret microphone (verify actual part)</x:v>
      </x:c>
      <x:c r="C11" s="17" t="str">
        <x:v>JW_Microphone / MK1</x:v>
      </x:c>
      <x:c r="D11" s="19" t="str">
        <x:v>5 V bias circuit</x:v>
      </x:c>
      <x:c r="E11" s="19" t="n">
        <x:v>1</x:v>
      </x:c>
      <x:c r="F11" s="17" t="n">
        <x:v>1</x:v>
      </x:c>
      <x:c r="G11" s="20" t="n">
        <x:f t="shared" si="1">E11*F11</x:f>
        <x:v>1</x:v>
      </x:c>
      <x:c r="H11" s="21" t="str">
        <x:v>mA</x:v>
      </x:c>
    </x:row>
    <x:row r="12" ht="15" customHeight="1">
      <x:c r="A12" s="16"/>
      <x:c r="B12" s="23"/>
      <x:c r="C12" s="23"/>
      <x:c r="D12" s="24"/>
      <x:c r="E12" s="18"/>
      <x:c r="F12" s="23"/>
      <x:c r="G12" s="20">
        <x:f t="shared" si="1"/>
      </x:c>
      <x:c r="H12" s="21"/>
    </x:row>
    <x:row r="13" ht="15" customHeight="1">
      <x:c r="A13" s="16"/>
      <x:c r="B13" s="17"/>
      <x:c r="C13" s="23"/>
      <x:c r="D13" s="18"/>
      <x:c r="E13" s="19"/>
      <x:c r="F13" s="17"/>
      <x:c r="G13" s="20">
        <x:f t="shared" si="1"/>
      </x:c>
      <x:c r="H13" s="21"/>
    </x:row>
    <x:row r="14" ht="15" customHeight="1">
      <x:c r="A14" s="16"/>
      <x:c r="B14" s="23"/>
      <x:c r="C14" s="17"/>
      <x:c r="D14" s="18"/>
      <x:c r="E14" s="19"/>
      <x:c r="F14" s="17"/>
      <x:c r="G14" s="20"/>
      <x:c r="H14" s="21"/>
    </x:row>
    <x:row r="15" ht="15" customHeight="1">
      <x:c r="A15" s="25"/>
      <x:c r="B15" s="7"/>
      <x:c r="C15" s="26"/>
      <x:c r="D15" s="27"/>
      <x:c r="E15" s="4"/>
      <x:c r="F15" s="26"/>
      <x:c r="G15" s="28"/>
      <x:c r="H15" s="28"/>
    </x:row>
    <x:row r="16" ht="15" customHeight="1">
      <x:c r="A16" s="8" t="s">
        <x:v>13</x:v>
      </x:c>
      <x:c r="B16" s="9"/>
      <x:c r="C16" s="9"/>
      <x:c r="D16" s="9"/>
      <x:c r="E16" s="9"/>
      <x:c r="F16" s="9"/>
      <x:c r="G16" s="9"/>
      <x:c r="H16" s="10"/>
    </x:row>
    <x:row r="17" ht="15" customHeight="1">
      <x:c r="A17" s="29" t="str">
        <x:v>Unused — no 12 V load rail (9–12 V is regulator input only)</x:v>
      </x:c>
      <x:c r="B17" s="12" t="s">
        <x:v>6</x:v>
      </x:c>
      <x:c r="C17" s="12" t="s">
        <x:v>7</x:v>
      </x:c>
      <x:c r="D17" s="13" t="s">
        <x:v>8</x:v>
      </x:c>
      <x:c r="E17" s="13" t="s">
        <x:v>9</x:v>
      </x:c>
      <x:c r="F17" s="14" t="s">
        <x:v>10</x:v>
      </x:c>
      <x:c r="G17" s="15" t="s">
        <x:v>11</x:v>
      </x:c>
      <x:c r="H17" s="15" t="s">
        <x:v>12</x:v>
      </x:c>
    </x:row>
    <x:row r="18" ht="15" customHeight="1">
      <x:c r="A18" s="16"/>
      <x:c r="B18" s="17"/>
      <x:c r="C18" s="17"/>
      <x:c r="D18" s="18"/>
      <x:c r="E18" s="19"/>
      <x:c r="F18" s="17"/>
      <x:c r="G18" s="20">
        <x:f t="shared" ref="G18:G22" si="2">E18*F18</x:f>
      </x:c>
      <x:c r="H18" s="21"/>
    </x:row>
    <x:row r="19" ht="15" customHeight="1">
      <x:c r="A19" s="16"/>
      <x:c r="B19" s="17"/>
      <x:c r="C19" s="17"/>
      <x:c r="D19" s="18"/>
      <x:c r="E19" s="19"/>
      <x:c r="F19" s="17"/>
      <x:c r="G19" s="20">
        <x:f t="shared" si="2"/>
      </x:c>
      <x:c r="H19" s="21"/>
    </x:row>
    <x:row r="20" ht="15" customHeight="1">
      <x:c r="A20" s="16"/>
      <x:c r="B20" s="17"/>
      <x:c r="C20" s="17"/>
      <x:c r="D20" s="19"/>
      <x:c r="E20" s="19"/>
      <x:c r="F20" s="17"/>
      <x:c r="G20" s="20">
        <x:f t="shared" si="2"/>
      </x:c>
      <x:c r="H20" s="21"/>
    </x:row>
    <x:row r="21" ht="15" customHeight="1">
      <x:c r="A21" s="16"/>
      <x:c r="B21" s="17"/>
      <x:c r="C21" s="17"/>
      <x:c r="D21" s="19"/>
      <x:c r="E21" s="19"/>
      <x:c r="F21" s="17"/>
      <x:c r="G21" s="20">
        <x:f t="shared" si="2"/>
      </x:c>
      <x:c r="H21" s="21"/>
    </x:row>
    <x:row r="22" ht="15" customHeight="1">
      <x:c r="A22" s="16"/>
      <x:c r="C22" s="17"/>
      <x:c r="D22" s="19"/>
      <x:c r="E22" s="19"/>
      <x:c r="F22" s="17"/>
      <x:c r="G22" s="20">
        <x:f t="shared" si="2"/>
      </x:c>
      <x:c r="H22" s="21"/>
    </x:row>
    <x:row r="23" ht="15" customHeight="1">
      <x:c r="A23" s="16"/>
      <x:c r="B23" s="30" t="str">
        <x:v>No +12 V load</x:v>
      </x:c>
      <x:c r="G23" s="20" t="n">
        <x:v>0</x:v>
      </x:c>
      <x:c r="H23" s="21" t="s">
        <x:v>14</x:v>
      </x:c>
    </x:row>
    <x:row r="24" ht="15" customHeight="1">
      <x:c r="A24" s="16"/>
      <x:c r="B24" s="30" t="s">
        <x:v>15</x:v>
      </x:c>
      <x:c r="G24" s="31">
        <x:v>0.25</x:v>
      </x:c>
      <x:c r="H24" s="31"/>
    </x:row>
    <x:row r="25" ht="15" customHeight="1">
      <x:c r="A25" s="32"/>
      <x:c r="B25" s="33" t="s">
        <x:v>16</x:v>
      </x:c>
      <x:c r="G25" s="20" t="n">
        <x:v>0</x:v>
      </x:c>
      <x:c r="H25" s="21" t="s">
        <x:v>14</x:v>
      </x:c>
    </x:row>
    <x:row r="26" ht="15" customHeight="1">
      <x:c r="A26" s="34"/>
      <x:c r="B26" s="35"/>
      <x:c r="C26" s="35"/>
      <x:c r="D26" s="18"/>
      <x:c r="E26" s="18"/>
      <x:c r="F26" s="36"/>
      <x:c r="G26" s="37"/>
      <x:c r="H26" s="20"/>
    </x:row>
    <x:row r="27" ht="15" customHeight="1">
      <x:c r="A27" s="34" t="s">
        <x:v>17</x:v>
      </x:c>
      <x:c r="B27" s="35"/>
      <x:c r="C27" s="35"/>
      <x:c r="D27" s="18"/>
      <x:c r="E27" s="18"/>
      <x:c r="F27" s="36"/>
      <x:c r="G27" s="37"/>
      <x:c r="H27" s="21"/>
    </x:row>
    <x:row r="28" ht="15" customHeight="1">
      <x:c r="A28" s="38"/>
      <x:c r="B28" s="39"/>
      <x:c r="C28" s="40"/>
      <x:c r="D28" s="40"/>
      <x:c r="E28" s="40"/>
      <x:c r="F28" s="40"/>
      <x:c r="G28" s="37" t="n">
        <x:v>0</x:v>
      </x:c>
      <x:c r="H28" s="21"/>
    </x:row>
    <x:row r="29" ht="15" customHeight="1">
      <x:c r="A29" s="29" t="s">
        <x:v>18</x:v>
      </x:c>
      <x:c r="B29" s="12" t="s">
        <x:v>6</x:v>
      </x:c>
      <x:c r="C29" s="12" t="s">
        <x:v>7</x:v>
      </x:c>
      <x:c r="D29" s="13" t="s">
        <x:v>8</x:v>
      </x:c>
      <x:c r="E29" s="13" t="s">
        <x:v>9</x:v>
      </x:c>
      <x:c r="F29" s="14" t="s">
        <x:v>10</x:v>
      </x:c>
      <x:c r="G29" s="41" t="s">
        <x:v>11</x:v>
      </x:c>
      <x:c r="H29" s="41" t="s">
        <x:v>12</x:v>
      </x:c>
    </x:row>
    <x:row r="30" ht="15" customHeight="1">
      <x:c r="A30" s="42"/>
      <x:c r="B30" s="22" t="str">
        <x:v>PIC18F57Q43 Curiosity Nano dev board</x:v>
      </x:c>
      <x:c r="C30" s="17" t="str">
        <x:v>PIC18F57Q43 Curiosity Nano</x:v>
      </x:c>
      <x:c r="D30" s="19" t="str">
        <x:v>5 V board input</x:v>
      </x:c>
      <x:c r="E30" s="19" t="n">
        <x:v>1</x:v>
      </x:c>
      <x:c r="F30" s="17" t="n">
        <x:v>100</x:v>
      </x:c>
      <x:c r="G30" s="20" t="n">
        <x:f t="shared" ref="G30:G34" si="3">E30*F30</x:f>
        <x:v>100</x:v>
      </x:c>
      <x:c r="H30" s="21" t="str">
        <x:v>mA</x:v>
      </x:c>
    </x:row>
    <x:row r="31" ht="15" customHeight="1">
      <x:c r="A31" s="16"/>
      <x:c r="B31" s="23" t="str">
        <x:v>Quad op-amp</x:v>
      </x:c>
      <x:c r="C31" s="23" t="str">
        <x:v>MCP6004</x:v>
      </x:c>
      <x:c r="D31" s="18" t="str">
        <x:v>1.8–6.0 V</x:v>
      </x:c>
      <x:c r="E31" s="18" t="n">
        <x:v>1</x:v>
      </x:c>
      <x:c r="F31" s="23" t="n">
        <x:v>5</x:v>
      </x:c>
      <x:c r="G31" s="20" t="n">
        <x:f t="shared" si="3">E31*F31</x:f>
        <x:v>5</x:v>
      </x:c>
      <x:c r="H31" s="21" t="str">
        <x:v>mA</x:v>
      </x:c>
    </x:row>
    <x:row r="32" ht="15" customHeight="1">
      <x:c r="A32" s="16"/>
      <x:c r="B32" s="17" t="str">
        <x:v>Electret microphone (verify actual part)</x:v>
      </x:c>
      <x:c r="C32" s="17" t="str">
        <x:v>JW_Microphone / MK1</x:v>
      </x:c>
      <x:c r="D32" s="19" t="str">
        <x:v>5 V bias circuit</x:v>
      </x:c>
      <x:c r="E32" s="19" t="n">
        <x:v>1</x:v>
      </x:c>
      <x:c r="F32" s="17" t="n">
        <x:v>1</x:v>
      </x:c>
      <x:c r="G32" s="20" t="n">
        <x:f t="shared" si="3">E32*F32</x:f>
        <x:v>1</x:v>
      </x:c>
      <x:c r="H32" s="21" t="str">
        <x:v>mA</x:v>
      </x:c>
    </x:row>
    <x:row r="33" ht="15" customHeight="1">
      <x:c r="A33" s="16"/>
      <x:c r="B33" s="17"/>
      <x:c r="C33" s="17"/>
      <x:c r="D33" s="19"/>
      <x:c r="E33" s="19"/>
      <x:c r="F33" s="17"/>
      <x:c r="G33" s="20">
        <x:f t="shared" si="3"/>
      </x:c>
      <x:c r="H33" s="21"/>
    </x:row>
    <x:row r="34" ht="15" customHeight="1">
      <x:c r="A34" s="16"/>
      <x:c r="B34" s="17"/>
      <x:c r="C34" s="17"/>
      <x:c r="D34" s="19"/>
      <x:c r="E34" s="19"/>
      <x:c r="F34" s="17"/>
      <x:c r="G34" s="20">
        <x:f t="shared" si="3"/>
      </x:c>
      <x:c r="H34" s="21"/>
    </x:row>
    <x:row r="35" ht="15" customHeight="1">
      <x:c r="A35" s="16"/>
      <x:c r="B35" s="30" t="s">
        <x:v>19</x:v>
      </x:c>
      <x:c r="G35" s="20" t="n">
        <x:f>SUM(G30:G34)</x:f>
        <x:v>106</x:v>
      </x:c>
      <x:c r="H35" s="21" t="s">
        <x:v>14</x:v>
      </x:c>
    </x:row>
    <x:row r="36" ht="15" customHeight="1">
      <x:c r="A36" s="16"/>
      <x:c r="B36" s="30" t="s">
        <x:v>15</x:v>
      </x:c>
      <x:c r="G36" s="31" t="n">
        <x:v>0.25</x:v>
      </x:c>
      <x:c r="H36" s="31"/>
    </x:row>
    <x:row r="37" ht="15" customHeight="1">
      <x:c r="A37" s="32"/>
      <x:c r="B37" s="33" t="s">
        <x:v>20</x:v>
      </x:c>
      <x:c r="G37" s="20" t="n">
        <x:f>G35*(1+G36)</x:f>
        <x:v>132.5</x:v>
      </x:c>
      <x:c r="H37" s="21" t="s">
        <x:v>14</x:v>
      </x:c>
    </x:row>
    <x:row r="38" ht="15" customHeight="1">
      <x:c r="A38" s="34"/>
      <x:c r="B38" s="35"/>
      <x:c r="C38" s="35"/>
      <x:c r="D38" s="18"/>
      <x:c r="E38" s="18"/>
      <x:c r="F38" s="36"/>
      <x:c r="G38" s="37"/>
      <x:c r="H38" s="20"/>
    </x:row>
    <x:row r="39" ht="15" customHeight="1">
      <x:c r="A39" s="34" t="s">
        <x:v>21</x:v>
      </x:c>
      <x:c r="B39" s="35" t="str">
        <x:v>+5 V linear regulator</x:v>
      </x:c>
      <x:c r="C39" s="35" t="str">
        <x:v>LM7805_JW (7805 family)</x:v>
      </x:c>
      <x:c r="D39" s="18" t="str">
        <x:v>9–12 V in; 5 V out</x:v>
      </x:c>
      <x:c r="E39" s="18" t="n">
        <x:v>1</x:v>
      </x:c>
      <x:c r="F39" s="36" t="n">
        <x:v>1000</x:v>
      </x:c>
      <x:c r="G39" s="37" t="n">
        <x:f>E39*F39</x:f>
        <x:v>1000</x:v>
      </x:c>
      <x:c r="H39" s="21" t="str">
        <x:v>mA (nominal rating; thermal derating required)</x:v>
      </x:c>
    </x:row>
    <x:row r="40" ht="15" customHeight="1">
      <x:c r="A40" s="38"/>
      <x:c r="B40" s="39"/>
      <x:c r="C40" s="40"/>
      <x:c r="D40" s="40"/>
      <x:c r="E40" s="40"/>
      <x:c r="F40" s="40"/>
      <x:c r="G40" s="37" t="n">
        <x:f>G39-G37</x:f>
        <x:v>867.5</x:v>
      </x:c>
      <x:c r="H40" s="21"/>
    </x:row>
    <x:row r="41" ht="15" customHeight="1">
      <x:c r="A41" s="29" t="str">
        <x:v>Unused — no negative power rail</x:v>
      </x:c>
      <x:c r="B41" s="12" t="s">
        <x:v>6</x:v>
      </x:c>
      <x:c r="C41" s="12" t="s">
        <x:v>7</x:v>
      </x:c>
      <x:c r="D41" s="13" t="s">
        <x:v>8</x:v>
      </x:c>
      <x:c r="E41" s="13" t="s">
        <x:v>9</x:v>
      </x:c>
      <x:c r="F41" s="14" t="s">
        <x:v>10</x:v>
      </x:c>
      <x:c r="G41" s="41" t="s">
        <x:v>11</x:v>
      </x:c>
      <x:c r="H41" s="41" t="s">
        <x:v>12</x:v>
      </x:c>
    </x:row>
    <x:row r="42" ht="15" customHeight="1">
      <x:c r="A42" s="16"/>
      <x:c r="B42" s="23"/>
      <x:c r="C42" s="17"/>
      <x:c r="D42" s="18"/>
      <x:c r="E42" s="19"/>
      <x:c r="F42" s="23"/>
      <x:c r="G42" s="21"/>
      <x:c r="H42" s="21"/>
    </x:row>
    <x:row r="43" ht="15" customHeight="1">
      <x:c r="A43" s="16"/>
      <x:c r="B43" s="17"/>
      <x:c r="C43" s="17"/>
      <x:c r="D43" s="19"/>
      <x:c r="E43" s="19"/>
      <x:c r="F43" s="17"/>
      <x:c r="G43" s="20">
        <x:f t="shared" ref="G43:G45" si="4">E43*F43</x:f>
      </x:c>
      <x:c r="H43" s="21"/>
    </x:row>
    <x:row r="44" ht="15" customHeight="1">
      <x:c r="A44" s="16"/>
      <x:c r="B44" s="17"/>
      <x:c r="C44" s="17"/>
      <x:c r="D44" s="19"/>
      <x:c r="E44" s="19"/>
      <x:c r="F44" s="17"/>
      <x:c r="G44" s="20">
        <x:f t="shared" si="4"/>
      </x:c>
      <x:c r="H44" s="21"/>
    </x:row>
    <x:row r="45" ht="15" customHeight="1">
      <x:c r="A45" s="16"/>
      <x:c r="B45" s="17"/>
      <x:c r="C45" s="17"/>
      <x:c r="D45" s="19"/>
      <x:c r="E45" s="19"/>
      <x:c r="F45" s="17"/>
      <x:c r="G45" s="20">
        <x:f t="shared" si="4"/>
      </x:c>
      <x:c r="H45" s="21"/>
    </x:row>
    <x:row r="46" ht="15" customHeight="1">
      <x:c r="A46" s="16"/>
      <x:c r="B46" s="30" t="s">
        <x:v>19</x:v>
      </x:c>
      <x:c r="G46" s="20" t="n">
        <x:v>0</x:v>
      </x:c>
      <x:c r="H46" s="21" t="s">
        <x:v>14</x:v>
      </x:c>
    </x:row>
    <x:row r="47" ht="15" customHeight="1">
      <x:c r="A47" s="16"/>
      <x:c r="B47" s="30" t="s">
        <x:v>15</x:v>
      </x:c>
      <x:c r="G47" s="31">
        <x:v>0.25</x:v>
      </x:c>
      <x:c r="H47" s="31"/>
    </x:row>
    <x:row r="48" ht="15" customHeight="1">
      <x:c r="A48" s="16"/>
      <x:c r="B48" s="33" t="s">
        <x:v>22</x:v>
      </x:c>
      <x:c r="G48" s="20" t="n">
        <x:v>0</x:v>
      </x:c>
      <x:c r="H48" s="21" t="s">
        <x:v>14</x:v>
      </x:c>
    </x:row>
    <x:row r="49" ht="15" customHeight="1">
      <x:c r="A49" s="34"/>
      <x:c r="B49" s="35"/>
      <x:c r="C49" s="35"/>
      <x:c r="D49" s="18"/>
      <x:c r="E49" s="18"/>
      <x:c r="F49" s="36"/>
      <x:c r="G49" s="37"/>
      <x:c r="H49" s="20"/>
    </x:row>
    <x:row r="50" ht="15" customHeight="1">
      <x:c r="A50" s="34" t="s">
        <x:v>23</x:v>
      </x:c>
      <x:c r="B50" s="35"/>
      <x:c r="C50" s="35"/>
      <x:c r="D50" s="18"/>
      <x:c r="E50" s="18"/>
      <x:c r="F50" s="36"/>
      <x:c r="G50" s="37"/>
      <x:c r="H50" s="21"/>
    </x:row>
    <x:row r="51" ht="15" customHeight="1">
      <x:c r="A51" s="38"/>
      <x:c r="B51" s="39"/>
      <x:c r="C51" s="40"/>
      <x:c r="D51" s="40"/>
      <x:c r="E51" s="40"/>
      <x:c r="F51" s="40"/>
      <x:c r="G51" s="37" t="n">
        <x:v>0</x:v>
      </x:c>
      <x:c r="H51" s="21"/>
    </x:row>
    <x:row r="52" ht="15" customHeight="1">
      <x:c r="A52" s="29" t="str">
        <x:v>Unused — no separate 3.3 V power rail</x:v>
      </x:c>
      <x:c r="B52" s="12" t="s">
        <x:v>6</x:v>
      </x:c>
      <x:c r="C52" s="12" t="s">
        <x:v>7</x:v>
      </x:c>
      <x:c r="D52" s="13" t="s">
        <x:v>8</x:v>
      </x:c>
      <x:c r="E52" s="13" t="s">
        <x:v>9</x:v>
      </x:c>
      <x:c r="F52" s="14" t="s">
        <x:v>10</x:v>
      </x:c>
      <x:c r="G52" s="41" t="s">
        <x:v>11</x:v>
      </x:c>
      <x:c r="H52" s="41" t="s">
        <x:v>12</x:v>
      </x:c>
    </x:row>
    <x:row r="53" ht="15" customHeight="1">
      <x:c r="A53" s="16"/>
      <x:c r="B53" s="23"/>
      <x:c r="C53" s="17"/>
      <x:c r="D53" s="18"/>
      <x:c r="E53" s="19"/>
      <x:c r="F53" s="17"/>
      <x:c r="G53" s="20"/>
      <x:c r="H53" s="21"/>
    </x:row>
    <x:row r="54" ht="15" customHeight="1">
      <x:c r="A54" s="16"/>
      <x:c r="B54" s="17"/>
      <x:c r="C54" s="17"/>
      <x:c r="D54" s="19"/>
      <x:c r="E54" s="19"/>
      <x:c r="F54" s="17"/>
      <x:c r="G54" s="20">
        <x:f t="shared" ref="G54:G56" si="5">E54*F54</x:f>
      </x:c>
      <x:c r="H54" s="21"/>
    </x:row>
    <x:row r="55" ht="15" customHeight="1">
      <x:c r="A55" s="16"/>
      <x:c r="B55" s="17"/>
      <x:c r="C55" s="17"/>
      <x:c r="D55" s="19"/>
      <x:c r="E55" s="19"/>
      <x:c r="F55" s="17"/>
      <x:c r="G55" s="20">
        <x:f t="shared" si="5"/>
      </x:c>
      <x:c r="H55" s="21"/>
    </x:row>
    <x:row r="56" ht="15" customHeight="1">
      <x:c r="A56" s="16"/>
      <x:c r="B56" s="17"/>
      <x:c r="C56" s="17"/>
      <x:c r="D56" s="19"/>
      <x:c r="E56" s="19"/>
      <x:c r="F56" s="17"/>
      <x:c r="G56" s="20">
        <x:f t="shared" si="5"/>
      </x:c>
      <x:c r="H56" s="21"/>
    </x:row>
    <x:row r="57" ht="15" customHeight="1">
      <x:c r="A57" s="16"/>
      <x:c r="B57" s="30" t="s">
        <x:v>19</x:v>
      </x:c>
      <x:c r="G57" s="20" t="n">
        <x:v>0</x:v>
      </x:c>
      <x:c r="H57" s="21" t="s">
        <x:v>14</x:v>
      </x:c>
    </x:row>
    <x:row r="58" ht="15" customHeight="1">
      <x:c r="A58" s="16"/>
      <x:c r="B58" s="30" t="s">
        <x:v>15</x:v>
      </x:c>
      <x:c r="G58" s="31">
        <x:v>0.25</x:v>
      </x:c>
      <x:c r="H58" s="31"/>
    </x:row>
    <x:row r="59" ht="15" customHeight="1">
      <x:c r="A59" s="16"/>
      <x:c r="B59" s="33" t="s">
        <x:v>24</x:v>
      </x:c>
      <x:c r="G59" s="20" t="n">
        <x:v>0</x:v>
      </x:c>
      <x:c r="H59" s="21" t="s">
        <x:v>14</x:v>
      </x:c>
    </x:row>
    <x:row r="60" ht="15" customHeight="1">
      <x:c r="A60" s="34"/>
      <x:c r="B60" s="23"/>
      <x:c r="C60" s="17"/>
      <x:c r="D60" s="18"/>
      <x:c r="E60" s="19"/>
      <x:c r="F60" s="17"/>
      <x:c r="G60" s="20"/>
      <x:c r="H60" s="28"/>
    </x:row>
    <x:row r="61" ht="15" customHeight="1">
      <x:c r="A61" s="34" t="s">
        <x:v>25</x:v>
      </x:c>
      <x:c r="B61" s="23"/>
      <x:c r="C61" s="17"/>
      <x:c r="D61" s="18"/>
      <x:c r="E61" s="19"/>
      <x:c r="F61" s="17"/>
      <x:c r="G61" s="20"/>
      <x:c r="H61" s="21"/>
    </x:row>
    <x:row r="62" ht="15" customHeight="1">
      <x:c r="A62" s="16"/>
      <x:c r="B62" s="43"/>
      <x:c r="G62" s="37" t="n">
        <x:v>0</x:v>
      </x:c>
      <x:c r="H62" s="21"/>
    </x:row>
    <x:row r="63" ht="15" customHeight="1">
      <x:c r="A63" s="44"/>
      <x:c r="B63" s="45"/>
      <x:c r="C63" s="45"/>
      <x:c r="D63" s="45"/>
      <x:c r="E63" s="45"/>
      <x:c r="F63" s="45"/>
      <x:c r="G63" s="46"/>
      <x:c r="H63" s="47"/>
    </x:row>
    <x:row r="64" ht="15" customHeight="1">
      <x:c r="A64" s="8" t="s">
        <x:v>26</x:v>
      </x:c>
      <x:c r="B64" s="9"/>
      <x:c r="C64" s="9"/>
      <x:c r="D64" s="9"/>
      <x:c r="E64" s="9"/>
      <x:c r="F64" s="9"/>
      <x:c r="G64" s="9"/>
      <x:c r="H64" s="10"/>
    </x:row>
    <x:row r="65" ht="15" customHeight="1">
      <x:c r="A65" s="48"/>
      <x:c r="B65" s="40"/>
      <x:c r="C65" s="40"/>
      <x:c r="D65" s="40"/>
      <x:c r="E65" s="40"/>
      <x:c r="F65" s="40"/>
      <x:c r="G65" s="40"/>
      <x:c r="H65" s="49"/>
    </x:row>
    <x:row r="66" ht="15" customHeight="1">
      <x:c r="A66" s="8" t="s">
        <x:v>27</x:v>
      </x:c>
      <x:c r="B66" s="9"/>
      <x:c r="C66" s="9"/>
      <x:c r="D66" s="9"/>
      <x:c r="E66" s="9"/>
      <x:c r="F66" s="9"/>
      <x:c r="G66" s="9"/>
      <x:c r="H66" s="10"/>
    </x:row>
    <x:row r="67" ht="15" customHeight="1">
      <x:c r="A67" s="29" t="s">
        <x:v>28</x:v>
      </x:c>
      <x:c r="B67" s="12" t="s">
        <x:v>6</x:v>
      </x:c>
      <x:c r="C67" s="12" t="s">
        <x:v>7</x:v>
      </x:c>
      <x:c r="D67" s="13" t="s">
        <x:v>8</x:v>
      </x:c>
      <x:c r="E67" s="50" t="s">
        <x:v>29</x:v>
      </x:c>
      <x:c r="F67" s="14" t="s">
        <x:v>10</x:v>
      </x:c>
      <x:c r="G67" s="41" t="s">
        <x:v>11</x:v>
      </x:c>
      <x:c r="H67" s="41" t="s">
        <x:v>12</x:v>
      </x:c>
    </x:row>
    <x:row r="68" ht="15" customHeight="1">
      <x:c r="A68" s="51" t="s">
        <x:v>30</x:v>
      </x:c>
      <x:c r="B68" s="35" t="str">
        <x:v>Regulated 9–12 V DC wall adapter (selection pending)</x:v>
      </x:c>
      <x:c r="C68" s="18" t="str">
        <x:v>TBD — must verify connector/polarity</x:v>
      </x:c>
      <x:c r="D68" s="18" t="str">
        <x:v>AC mains input</x:v>
      </x:c>
      <x:c r="E68" s="18" t="n">
        <x:v>12</x:v>
      </x:c>
      <x:c r="F68" s="36" t="n">
        <x:v>500</x:v>
      </x:c>
      <x:c r="G68" s="52" t="n">
        <x:f>F68</x:f>
        <x:v>500</x:v>
      </x:c>
      <x:c r="H68" s="53" t="str">
        <x:v>mA; 12 V shown as proposed adapter output</x:v>
      </x:c>
    </x:row>
    <x:row r="69" ht="15" customHeight="1">
      <x:c r="A69" s="54"/>
      <x:c r="B69" s="35"/>
      <x:c r="C69" s="35"/>
      <x:c r="D69" s="18"/>
      <x:c r="E69" s="18"/>
      <x:c r="F69" s="36"/>
      <x:c r="G69" s="37"/>
      <x:c r="H69" s="55"/>
    </x:row>
    <x:row r="70" ht="15" customHeight="1">
      <x:c r="A70" s="56" t="s">
        <x:v>31</x:v>
      </x:c>
      <x:c r="B70" s="35" t="str">
        <x:v>LM7805 input</x:v>
      </x:c>
      <x:c r="C70" s="35" t="str">
        <x:v>LM7805_JW</x:v>
      </x:c>
      <x:c r="D70" s="18" t="str">
        <x:v>9–12 V input</x:v>
      </x:c>
      <x:c r="E70" s="18" t="n">
        <x:v>1</x:v>
      </x:c>
      <x:c r="F70" s="36" t="n">
        <x:v>0</x:v>
      </x:c>
      <x:c r="G70" s="37" t="n">
        <x:f t="shared" ref="G70:G72" si="6">G37</x:f>
        <x:v>132.5</x:v>
      </x:c>
      <x:c r="H70" s="21" t="str">
        <x:v>mA; excludes regulator quiescent current</x:v>
      </x:c>
    </x:row>
    <x:row r="71" ht="15" customHeight="1">
      <x:c r="A71" s="57"/>
      <x:c r="B71" s="35"/>
      <x:c r="C71" s="35"/>
      <x:c r="D71" s="18"/>
      <x:c r="E71" s="18"/>
      <x:c r="F71" s="36"/>
      <x:c r="G71" s="37">
        <x:f t="shared" si="6"/>
      </x:c>
      <x:c r="H71" s="21"/>
    </x:row>
    <x:row r="72" ht="15" customHeight="1">
      <x:c r="A72" s="57"/>
      <x:c r="B72" s="23"/>
      <x:c r="C72" s="17"/>
      <x:c r="D72" s="18"/>
      <x:c r="E72" s="19"/>
      <x:c r="F72" s="17"/>
      <x:c r="G72" s="20">
        <x:f t="shared" si="6"/>
      </x:c>
      <x:c r="H72" s="21"/>
    </x:row>
    <x:row r="73" ht="15" customHeight="1">
      <x:c r="A73" s="54"/>
      <x:c r="B73" s="43" t="str">
        <x:v>Estimated remaining adapter current</x:v>
      </x:c>
      <x:c r="G73" s="52" t="n">
        <x:f>G68-G70</x:f>
        <x:v>367.5</x:v>
      </x:c>
      <x:c r="H73" s="53" t="str">
        <x:v>mA (optimistic; regulator IQ not included)</x:v>
      </x:c>
    </x:row>
    <x:row r="74" ht="15" customHeight="1">
      <x:c r="A74" s="54"/>
      <x:c r="B74" s="4"/>
      <x:c r="C74" s="4"/>
      <x:c r="D74" s="27"/>
      <x:c r="E74" s="27"/>
      <x:c r="F74" s="27"/>
      <x:c r="G74" s="58"/>
      <x:c r="H74" s="59"/>
    </x:row>
    <x:row r="75" ht="15" customHeight="1">
      <x:c r="A75" s="29" t="s">
        <x:v>32</x:v>
      </x:c>
      <x:c r="B75" s="12" t="s">
        <x:v>6</x:v>
      </x:c>
      <x:c r="C75" s="12" t="s">
        <x:v>7</x:v>
      </x:c>
      <x:c r="D75" s="13" t="s">
        <x:v>8</x:v>
      </x:c>
      <x:c r="E75" s="50" t="s">
        <x:v>29</x:v>
      </x:c>
      <x:c r="F75" s="14" t="s">
        <x:v>10</x:v>
      </x:c>
      <x:c r="G75" s="41" t="s">
        <x:v>11</x:v>
      </x:c>
      <x:c r="H75" s="41" t="s">
        <x:v>12</x:v>
      </x:c>
    </x:row>
    <x:row r="76" ht="15" customHeight="1">
      <x:c r="A76" s="51" t="s">
        <x:v>33</x:v>
      </x:c>
      <x:c r="B76" s="35" t="str">
        <x:v>Not applicable — wall supply</x:v>
      </x:c>
      <x:c r="C76" s="18"/>
      <x:c r="D76" s="18"/>
      <x:c r="E76" s="18"/>
      <x:c r="F76" s="36"/>
      <x:c r="G76" s="52"/>
      <x:c r="H76" s="53"/>
    </x:row>
    <x:row r="77" ht="15" customHeight="1">
      <x:c r="A77" s="54"/>
      <x:c r="B77" s="35"/>
      <x:c r="C77" s="35"/>
      <x:c r="D77" s="18"/>
      <x:c r="E77" s="18"/>
      <x:c r="F77" s="36"/>
      <x:c r="G77" s="37"/>
      <x:c r="H77" s="55"/>
    </x:row>
    <x:row r="78" ht="15" customHeight="1">
      <x:c r="A78" s="56" t="s">
        <x:v>34</x:v>
      </x:c>
      <x:c r="B78" s="35"/>
      <x:c r="C78" s="35"/>
      <x:c r="D78" s="18"/>
      <x:c r="E78" s="18"/>
      <x:c r="F78" s="36"/>
      <x:c r="G78" s="37"/>
      <x:c r="H78" s="21"/>
    </x:row>
    <x:row r="79" ht="15" customHeight="1">
      <x:c r="A79" s="57"/>
      <x:c r="B79" s="35"/>
      <x:c r="C79" s="35"/>
      <x:c r="D79" s="18"/>
      <x:c r="E79" s="18"/>
      <x:c r="F79" s="36"/>
      <x:c r="G79" s="37"/>
      <x:c r="H79" s="21"/>
    </x:row>
    <x:row r="80" ht="15" customHeight="1">
      <x:c r="A80" s="57"/>
      <x:c r="B80" s="23"/>
      <x:c r="C80" s="17"/>
      <x:c r="D80" s="18"/>
      <x:c r="E80" s="19"/>
      <x:c r="F80" s="17"/>
      <x:c r="G80" s="20"/>
      <x:c r="H80" s="21"/>
    </x:row>
    <x:row r="81" ht="15" customHeight="1">
      <x:c r="A81" s="54"/>
      <x:c r="B81" s="43"/>
      <x:c r="G81" s="52" t="n">
        <x:v>0</x:v>
      </x:c>
      <x:c r="H81" s="53"/>
    </x:row>
    <x:row r="82" ht="15" customHeight="1">
      <x:c r="A82" s="32"/>
      <x:c r="B82" s="23"/>
      <x:c r="C82" s="17"/>
      <x:c r="D82" s="60"/>
      <x:c r="E82" s="18"/>
      <x:c r="F82" s="23"/>
      <x:c r="G82" s="20"/>
      <x:c r="H82" s="61"/>
    </x:row>
    <x:row r="83" ht="15" customHeight="1">
      <x:c r="A83" s="8" t="s">
        <x:v>35</x:v>
      </x:c>
      <x:c r="B83" s="9"/>
      <x:c r="C83" s="9"/>
      <x:c r="D83" s="9"/>
      <x:c r="E83" s="9"/>
      <x:c r="F83" s="62"/>
      <x:c r="G83" s="63"/>
      <x:c r="H83" s="63"/>
    </x:row>
    <x:row r="84" ht="15" customHeight="1">
      <x:c r="A84" s="64"/>
      <x:c r="B84" s="65" t="s">
        <x:v>6</x:v>
      </x:c>
      <x:c r="C84" s="65" t="s">
        <x:v>7</x:v>
      </x:c>
      <x:c r="D84" s="66" t="s">
        <x:v>8</x:v>
      </x:c>
      <x:c r="E84" s="66"/>
      <x:c r="F84" s="67" t="s">
        <x:v>36</x:v>
      </x:c>
      <x:c r="G84" s="68" t="s">
        <x:v>37</x:v>
      </x:c>
      <x:c r="H84" s="69"/>
    </x:row>
    <x:row r="85" ht="15" customHeight="1">
      <x:c r="A85" s="16"/>
      <x:c r="B85" s="17" t="str">
        <x:v>No battery in this design</x:v>
      </x:c>
      <x:c r="C85" s="17"/>
      <x:c r="D85" s="18"/>
      <x:c r="E85" s="19"/>
      <x:c r="F85" s="23"/>
      <x:c r="G85" s="20"/>
      <x:c r="H85" s="20"/>
    </x:row>
    <x:row r="86" ht="15" customHeight="1">
      <x:c r="A86" s="16"/>
      <x:c r="B86" s="17" t="str">
        <x:v>Battery life not applicable</x:v>
      </x:c>
      <x:c r="C86" s="17"/>
      <x:c r="D86" s="19"/>
      <x:c r="E86" s="19"/>
      <x:c r="F86" s="30"/>
      <x:c r="G86" s="70"/>
      <x:c r="H86" s="21"/>
    </x:row>
    <x:row r="87" ht="15" customHeight="1">
      <x:c r="A87" s="71" t="str">
        <x:v>NOTES — CURRENT FIGURES ARE PLANNING ALLOWANCES, NOT VERIFIED ABSOLUTE MAXIMA. Confirm board current, op-amp supply current, actual microphone part/draw and adapter rating before design signoff.</x:v>
      </x:c>
      <x:c r="G87" s="72"/>
      <x:c r="H87" s="72"/>
    </x:row>
    <x:row r="88" ht="15" customHeight="1">
      <x:c r="A88" s="73" t="str">
        <x:v>5 V rail also powers LED/resistor branches and divider; allow additional margin beyond 25%. At 12 V in, regulator dissipation ≈ (12−5)×load current; check 7805 thermal limits.</x:v>
      </x:c>
    </x:row>
    <x:row r="89" ht="15" customHeight="1">
      <x:c r="A89" s="74" t="str">
        <x:v>The schematic labels MK1 JW_Microphone; verify whether this is an electret microphone or another type before assigning actual microphone current.</x:v>
      </x:c>
    </x:row>
  </x:sheetData>
  <x:mergeCells>
    <x:mergeCell ref="A1:H1"/>
    <x:mergeCell ref="A7:H7"/>
    <x:mergeCell ref="A16:H16"/>
    <x:mergeCell ref="B23:F23"/>
    <x:mergeCell ref="B24:F24"/>
    <x:mergeCell ref="B25:F25"/>
    <x:mergeCell ref="B28:F28"/>
    <x:mergeCell ref="B35:F35"/>
    <x:mergeCell ref="B36:F36"/>
    <x:mergeCell ref="B37:F37"/>
    <x:mergeCell ref="B40:F40"/>
    <x:mergeCell ref="B46:F46"/>
    <x:mergeCell ref="B47:F47"/>
    <x:mergeCell ref="B48:F48"/>
    <x:mergeCell ref="B51:F51"/>
    <x:mergeCell ref="B57:F57"/>
    <x:mergeCell ref="B58:F58"/>
    <x:mergeCell ref="B59:F59"/>
    <x:mergeCell ref="B62:F62"/>
    <x:mergeCell ref="A64:H64"/>
    <x:mergeCell ref="A65:H65"/>
    <x:mergeCell ref="A88:H88"/>
    <x:mergeCell ref="A89:H89"/>
    <x:mergeCell ref="A66:H66"/>
    <x:mergeCell ref="A70:A72"/>
    <x:mergeCell ref="B73:F73"/>
    <x:mergeCell ref="A78:A80"/>
    <x:mergeCell ref="B81:F81"/>
    <x:mergeCell ref="A83:F83"/>
    <x:mergeCell ref="A87:F87"/>
  </x:mergeCells>
  <x:conditionalFormatting sqref="G28:G28 G40:G40 G51:G51 G62:G62">
    <x:cfRule type="cellIs" dxfId="0" priority="1" operator="lessThan">
      <x:formula>0</x:formula>
    </x:cfRule>
  </x:conditionalFormatting>
  <x:pageMargins left="0.7" right="0.7" top="0.75" bottom="0.75" header="0.3" footer="0.3"/>
  <x:legacyDrawing xmlns:r="http://schemas.openxmlformats.org/officeDocument/2006/relationships" r:id="Re44709c3cfc64ab8"/>
</x:worksheet>
</file>